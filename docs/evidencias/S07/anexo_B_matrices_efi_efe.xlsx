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FI" sheetId="1" state="visible" r:id="rId1"/>
    <sheet xmlns:r="http://schemas.openxmlformats.org/officeDocument/2006/relationships" name="EFE" sheetId="2" state="visible" r:id="rId2"/>
    <sheet xmlns:r="http://schemas.openxmlformats.org/officeDocument/2006/relationships" name="Resum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2D5C"/>
      <sz val="13"/>
    </font>
    <font>
      <i val="1"/>
      <color rgb="00666666"/>
    </font>
    <font>
      <b val="1"/>
      <color rgb="00FFFFFF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1F2D5C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2" fontId="0" fillId="0" borderId="1" applyAlignment="1" pivotButton="0" quotePrefix="0" xfId="0">
      <alignment vertical="top" wrapText="1"/>
    </xf>
    <xf numFmtId="0" fontId="4" fillId="0" borderId="1" pivotButton="0" quotePrefix="0" xfId="0"/>
    <xf numFmtId="2" fontId="4" fillId="0" borderId="1" pivotButton="0" quotePrefix="0" xfId="0"/>
    <xf numFmtId="0" fontId="5" fillId="0" borderId="0" pivotButton="0" quotePrefix="0" xfId="0"/>
    <xf numFmtId="0" fontId="3" fillId="2" borderId="1" pivotButton="0" quotePrefix="0" xfId="0"/>
    <xf numFmtId="0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34" customWidth="1" min="3" max="3"/>
    <col width="40" customWidth="1" min="4" max="4"/>
    <col width="26" customWidth="1" min="5" max="5"/>
    <col width="8" customWidth="1" min="6" max="6"/>
    <col width="11" customWidth="1" min="7" max="7"/>
    <col width="11" customWidth="1" min="8" max="8"/>
    <col width="42" customWidth="1" min="9" max="9"/>
    <col width="42" customWidth="1" min="10" max="10"/>
  </cols>
  <sheetData>
    <row r="1">
      <c r="A1" s="1" t="inlineStr">
        <is>
          <t>Anexo B · Matriz EFI</t>
        </is>
      </c>
    </row>
    <row r="2">
      <c r="A2" s="2" t="inlineStr">
        <is>
          <t>DICOSUR · PETI v0.7 · Confidencial · Taller 07 SI-886</t>
        </is>
      </c>
    </row>
    <row r="4">
      <c r="A4" s="3" t="inlineStr">
        <is>
          <t>id</t>
        </is>
      </c>
      <c r="B4" s="3" t="inlineStr">
        <is>
          <t>tipo</t>
        </is>
      </c>
      <c r="C4" s="3" t="inlineStr">
        <is>
          <t>factor</t>
        </is>
      </c>
      <c r="D4" s="3" t="inlineStr">
        <is>
          <t>evidencia</t>
        </is>
      </c>
      <c r="E4" s="3" t="inlineStr">
        <is>
          <t>origen</t>
        </is>
      </c>
      <c r="F4" s="3" t="inlineStr">
        <is>
          <t>peso</t>
        </is>
      </c>
      <c r="G4" s="3" t="inlineStr">
        <is>
          <t>calificacion</t>
        </is>
      </c>
      <c r="H4" s="3" t="inlineStr">
        <is>
          <t>ponderado</t>
        </is>
      </c>
      <c r="I4" s="3" t="inlineStr">
        <is>
          <t>justificacion_peso</t>
        </is>
      </c>
      <c r="J4" s="3" t="inlineStr">
        <is>
          <t>justificacion_calificacion</t>
        </is>
      </c>
    </row>
    <row r="5">
      <c r="A5" s="4" t="inlineStr">
        <is>
          <t>F1</t>
        </is>
      </c>
      <c r="B5" s="4" t="inlineStr">
        <is>
          <t>Fortaleza</t>
        </is>
      </c>
      <c r="C5" s="4" t="inlineStr">
        <is>
          <t>Red de distribución propia con entrega en 24 h</t>
        </is>
      </c>
      <c r="D5" s="4" t="inlineStr">
        <is>
          <t>Flota propia de 9 unidades que atiende Tacna y Moquegua con entrega al día siguiente del pedido</t>
        </is>
      </c>
      <c r="E5" s="4" t="inlineStr">
        <is>
          <t>Sección 3.1.1 CV-03</t>
        </is>
      </c>
      <c r="F5" s="4" t="n">
        <v>0.1</v>
      </c>
      <c r="G5" s="4" t="n">
        <v>4</v>
      </c>
      <c r="H5" s="5">
        <f>F5*G5</f>
        <v/>
      </c>
      <c r="I5" s="4" t="inlineStr">
        <is>
          <t>La logística de salida concentra el 22 % del costo operativo (Sección 3.1.2); es la actividad de mayor peso económico</t>
        </is>
      </c>
      <c r="J5" s="4" t="inlineStr">
        <is>
          <t>Fortaleza mayor: ningún competidor local ofrece entrega en 24 h con flota propia (Sección 3.1.3 VRIO: valioso y raro)</t>
        </is>
      </c>
    </row>
    <row r="6">
      <c r="A6" s="4" t="inlineStr">
        <is>
          <t>F2</t>
        </is>
      </c>
      <c r="B6" s="4" t="inlineStr">
        <is>
          <t>Fortaleza</t>
        </is>
      </c>
      <c r="C6" s="4" t="inlineStr">
        <is>
          <t>Base histórica de compras de 8 400 clientes</t>
        </is>
      </c>
      <c r="D6" s="4" t="inlineStr">
        <is>
          <t>El ERP conserva el historial de pedidos de 8 400 clientes desde 2016</t>
        </is>
      </c>
      <c r="E6" s="4" t="inlineStr">
        <is>
          <t>Sección 3.1.3 VRIO</t>
        </is>
      </c>
      <c r="F6" s="4" t="n">
        <v>0.09</v>
      </c>
      <c r="G6" s="4" t="n">
        <v>4</v>
      </c>
      <c r="H6" s="5">
        <f>F6*G6</f>
        <v/>
      </c>
      <c r="I6" s="4" t="inlineStr">
        <is>
          <t>Es el único recurso VRIO calificado como valioso, raro y difícil de imitar (Sección 3.1.3)</t>
        </is>
      </c>
      <c r="J6" s="4" t="inlineStr">
        <is>
          <t>Fortaleza mayor: diez años de historial que un entrante no puede replicar</t>
        </is>
      </c>
    </row>
    <row r="7">
      <c r="A7" s="4" t="inlineStr">
        <is>
          <t>F3</t>
        </is>
      </c>
      <c r="B7" s="4" t="inlineStr">
        <is>
          <t>Fortaleza</t>
        </is>
      </c>
      <c r="C7" s="4" t="inlineStr">
        <is>
          <t>Facturación electrónica estable</t>
        </is>
      </c>
      <c r="D7" s="4" t="inlineStr">
        <is>
          <t>El 100 % de los comprobantes se emite desde el ERP, sin observaciones de SUNAT en 24 meses</t>
        </is>
      </c>
      <c r="E7" s="4" t="inlineStr">
        <is>
          <t>Sección 3.1.4 inventario de aplicaciones</t>
        </is>
      </c>
      <c r="F7" s="4" t="n">
        <v>0.05</v>
      </c>
      <c r="G7" s="4" t="n">
        <v>3</v>
      </c>
      <c r="H7" s="5">
        <f>F7*G7</f>
        <v/>
      </c>
      <c r="I7" s="4" t="inlineStr">
        <is>
          <t>Capacidad de soporte de criticidad media (Sección 3.1.5); su falla detiene la venta, pero hoy es estable</t>
        </is>
      </c>
      <c r="J7" s="4" t="inlineStr">
        <is>
          <t>Fortaleza menor: cumple, pero es una exigencia legal que todo competidor también cubre</t>
        </is>
      </c>
    </row>
    <row r="8">
      <c r="A8" s="4" t="inlineStr">
        <is>
          <t>F4</t>
        </is>
      </c>
      <c r="B8" s="4" t="inlineStr">
        <is>
          <t>Fortaleza</t>
        </is>
      </c>
      <c r="C8" s="4" t="inlineStr">
        <is>
          <t>ERP integrado en los procesos centrales</t>
        </is>
      </c>
      <c r="D8" s="4" t="inlineStr">
        <is>
          <t>Compras, almacén, facturación y contabilidad operan sobre una sola base de datos</t>
        </is>
      </c>
      <c r="E8" s="4" t="inlineStr">
        <is>
          <t>Sección 3.1.4 inventario de aplicaciones</t>
        </is>
      </c>
      <c r="F8" s="4" t="n">
        <v>0.08</v>
      </c>
      <c r="G8" s="4" t="n">
        <v>3</v>
      </c>
      <c r="H8" s="5">
        <f>F8*G8</f>
        <v/>
      </c>
      <c r="I8" s="4" t="inlineStr">
        <is>
          <t>Soporta las cuatro actividades primarias de la cadena de valor (Sección 3.1.1)</t>
        </is>
      </c>
      <c r="J8" s="4" t="inlineStr">
        <is>
          <t>Fortaleza menor: integración real, pero sobre una plataforma sin soporte (ver D6)</t>
        </is>
      </c>
    </row>
    <row r="9">
      <c r="A9" s="4" t="inlineStr">
        <is>
          <t>F5</t>
        </is>
      </c>
      <c r="B9" s="4" t="inlineStr">
        <is>
          <t>Fortaleza</t>
        </is>
      </c>
      <c r="C9" s="4" t="inlineStr">
        <is>
          <t>Cartera de clientes fidelizada</t>
        </is>
      </c>
      <c r="D9" s="4" t="inlineStr">
        <is>
          <t>El 68 % de las ventas de 2025 provino de clientes con más de 3 años de relación</t>
        </is>
      </c>
      <c r="E9" s="4" t="inlineStr">
        <is>
          <t>Sección 3.1.1 CV-05</t>
        </is>
      </c>
      <c r="F9" s="4" t="n">
        <v>0.07000000000000001</v>
      </c>
      <c r="G9" s="4" t="n">
        <v>3</v>
      </c>
      <c r="H9" s="5">
        <f>F9*G9</f>
        <v/>
      </c>
      <c r="I9" s="4" t="inlineStr">
        <is>
          <t>La venta recurrente sostiene el flujo de caja (Sección 3.1.2: 68 % de los ingresos)</t>
        </is>
      </c>
      <c r="J9" s="4" t="inlineStr">
        <is>
          <t>Fortaleza menor: la lealtad existe, pero no se gestiona con ningún sistema</t>
        </is>
      </c>
    </row>
    <row r="10">
      <c r="A10" s="4" t="inlineStr">
        <is>
          <t>F6</t>
        </is>
      </c>
      <c r="B10" s="4" t="inlineStr">
        <is>
          <t>Fortaleza</t>
        </is>
      </c>
      <c r="C10" s="4" t="inlineStr">
        <is>
          <t>Equipo de TI orientado a la innovación</t>
        </is>
      </c>
      <c r="D10" s="4" t="inlineStr">
        <is>
          <t>El área de TI tiene perfil cultural dominante Adhocracia (B = 36,67)</t>
        </is>
      </c>
      <c r="E10" s="4" t="inlineStr">
        <is>
          <t>Sección 2.4 perfil cultural por área</t>
        </is>
      </c>
      <c r="F10" s="4" t="n">
        <v>0.05</v>
      </c>
      <c r="G10" s="4" t="n">
        <v>3</v>
      </c>
      <c r="H10" s="5">
        <f>F10*G10</f>
        <v/>
      </c>
      <c r="I10" s="4" t="inlineStr">
        <is>
          <t>Capacidad habilitadora, no diferencial; pesa menos que los recursos de la cadena de valor (Sección 3.1.5)</t>
        </is>
      </c>
      <c r="J10" s="4" t="inlineStr">
        <is>
          <t>Fortaleza menor: disposición a experimentar, pero con 8 personas y sin gobierno</t>
        </is>
      </c>
    </row>
    <row r="11">
      <c r="A11" s="4" t="inlineStr">
        <is>
          <t>D1</t>
        </is>
      </c>
      <c r="B11" s="4" t="inlineStr">
        <is>
          <t>Debilidad</t>
        </is>
      </c>
      <c r="C11" s="4" t="inlineStr">
        <is>
          <t>Ausencia de capacidad analítica</t>
        </is>
      </c>
      <c r="D11" s="4" t="inlineStr">
        <is>
          <t>Los reportes gerenciales se arman a mano en hojas de cálculo (3 días al cierre de cada mes); no existe ningún tablero</t>
        </is>
      </c>
      <c r="E11" s="4" t="inlineStr">
        <is>
          <t>Sección 3.1.5 capacidad «Analítica», madurez 1/5</t>
        </is>
      </c>
      <c r="F11" s="4" t="n">
        <v>0.09</v>
      </c>
      <c r="G11" s="4" t="n">
        <v>1</v>
      </c>
      <c r="H11" s="5">
        <f>F11*G11</f>
        <v/>
      </c>
      <c r="I11" s="4" t="inlineStr">
        <is>
          <t>Capacidad crítica para decidir surtido, rutas y crédito (Sección 3.1.5: criticidad alta)</t>
        </is>
      </c>
      <c r="J11" s="4" t="inlineStr">
        <is>
          <t>Debilidad mayor: madurez 1 de 5</t>
        </is>
      </c>
    </row>
    <row r="12">
      <c r="A12" s="4" t="inlineStr">
        <is>
          <t>D2</t>
        </is>
      </c>
      <c r="B12" s="4" t="inlineStr">
        <is>
          <t>Debilidad</t>
        </is>
      </c>
      <c r="C12" s="4" t="inlineStr">
        <is>
          <t>Dependencia de un único desarrollador</t>
        </is>
      </c>
      <c r="D12" s="4" t="inlineStr">
        <is>
          <t>Una sola persona conoce el código del portal B2B y no hay documentación de la arquitectura</t>
        </is>
      </c>
      <c r="E12" s="4" t="inlineStr">
        <is>
          <t>Sección 3.1.3 VRIO</t>
        </is>
      </c>
      <c r="F12" s="4" t="n">
        <v>0.08</v>
      </c>
      <c r="G12" s="4" t="n">
        <v>1</v>
      </c>
      <c r="H12" s="5">
        <f>F12*G12</f>
        <v/>
      </c>
      <c r="I12" s="4" t="inlineStr">
        <is>
          <t>Riesgo de continuidad del único canal digital (Sección 3.1.3)</t>
        </is>
      </c>
      <c r="J12" s="4" t="inlineStr">
        <is>
          <t>Debilidad mayor: si esa persona se retira, el portal queda sin mantenimiento</t>
        </is>
      </c>
    </row>
    <row r="13">
      <c r="A13" s="4" t="inlineStr">
        <is>
          <t>D3</t>
        </is>
      </c>
      <c r="B13" s="4" t="inlineStr">
        <is>
          <t>Debilidad</t>
        </is>
      </c>
      <c r="C13" s="4" t="inlineStr">
        <is>
          <t>Baja adopción del portal B2B</t>
        </is>
      </c>
      <c r="D13" s="4" t="inlineStr">
        <is>
          <t>Solo el 6 % de los pedidos de 2025 ingresó por el portal B2B</t>
        </is>
      </c>
      <c r="E13" s="4" t="inlineStr">
        <is>
          <t>Sección 3.1.1 CV-05</t>
        </is>
      </c>
      <c r="F13" s="4" t="n">
        <v>0.07000000000000001</v>
      </c>
      <c r="G13" s="4" t="n">
        <v>2</v>
      </c>
      <c r="H13" s="5">
        <f>F13*G13</f>
        <v/>
      </c>
      <c r="I13" s="4" t="inlineStr">
        <is>
          <t>Afecta la actividad de ventas, que genera el 100 % de los ingresos (Sección 3.1.1)</t>
        </is>
      </c>
      <c r="J13" s="4" t="inlineStr">
        <is>
          <t>Debilidad menor: el canal existe y funciona, pero casi no se usa</t>
        </is>
      </c>
    </row>
    <row r="14">
      <c r="A14" s="4" t="inlineStr">
        <is>
          <t>D4</t>
        </is>
      </c>
      <c r="B14" s="4" t="inlineStr">
        <is>
          <t>Debilidad</t>
        </is>
      </c>
      <c r="C14" s="4" t="inlineStr">
        <is>
          <t>Ruteo gestionado en hoja de cálculo</t>
        </is>
      </c>
      <c r="D14" s="4" t="inlineStr">
        <is>
          <t>La planificación de rutas se hace en una hoja de cálculo y el despacho representa el 22 % del costo operativo</t>
        </is>
      </c>
      <c r="E14" s="4" t="inlineStr">
        <is>
          <t>Sección 3.1.1 CV-03</t>
        </is>
      </c>
      <c r="F14" s="4" t="n">
        <v>0.08</v>
      </c>
      <c r="G14" s="4" t="n">
        <v>2</v>
      </c>
      <c r="H14" s="5">
        <f>F14*G14</f>
        <v/>
      </c>
      <c r="I14" s="4" t="inlineStr">
        <is>
          <t>Mismo peso económico que F1: el 22 % del costo operativo (Sección 3.1.2)</t>
        </is>
      </c>
      <c r="J14" s="4" t="inlineStr">
        <is>
          <t>Debilidad menor: las rutas se cumplen, pero sin optimización ni trazabilidad</t>
        </is>
      </c>
    </row>
    <row r="15">
      <c r="A15" s="4" t="inlineStr">
        <is>
          <t>D5</t>
        </is>
      </c>
      <c r="B15" s="4" t="inlineStr">
        <is>
          <t>Debilidad</t>
        </is>
      </c>
      <c r="C15" s="4" t="inlineStr">
        <is>
          <t>Ausencia de programa de cumplimiento de datos personales</t>
        </is>
      </c>
      <c r="D15" s="4" t="inlineStr">
        <is>
          <t>No existe registro de actividades de tratamiento ni medidas documentadas para los datos de 8 400 clientes</t>
        </is>
      </c>
      <c r="E15" s="4" t="inlineStr">
        <is>
          <t>Sección 3.1.5 capacidad «Cumplimiento», madurez 1/5</t>
        </is>
      </c>
      <c r="F15" s="4" t="n">
        <v>0.08</v>
      </c>
      <c r="G15" s="4" t="n">
        <v>1</v>
      </c>
      <c r="H15" s="5">
        <f>F15*G15</f>
        <v/>
      </c>
      <c r="I15" s="4" t="inlineStr">
        <is>
          <t>Capacidad con exposición legal directa (Sección 3.3 PE-09, intensidad 5)</t>
        </is>
      </c>
      <c r="J15" s="4" t="inlineStr">
        <is>
          <t>Debilidad mayor: no hay ninguna medida en marcha</t>
        </is>
      </c>
    </row>
    <row r="16">
      <c r="A16" s="4" t="inlineStr">
        <is>
          <t>D6</t>
        </is>
      </c>
      <c r="B16" s="4" t="inlineStr">
        <is>
          <t>Debilidad</t>
        </is>
      </c>
      <c r="C16" s="4" t="inlineStr">
        <is>
          <t>Infraestructura del ERP sin redundancia ni prueba de restauración</t>
        </is>
      </c>
      <c r="D16" s="4" t="inlineStr">
        <is>
          <t>Un solo servidor físico; respaldo diario en disco local sin prueba de restauración en 12 meses</t>
        </is>
      </c>
      <c r="E16" s="4" t="inlineStr">
        <is>
          <t>Sección 3.1.4 inventario de infraestructura</t>
        </is>
      </c>
      <c r="F16" s="4" t="n">
        <v>0.09</v>
      </c>
      <c r="G16" s="4" t="n">
        <v>1</v>
      </c>
      <c r="H16" s="5">
        <f>F16*G16</f>
        <v/>
      </c>
      <c r="I16" s="4" t="inlineStr">
        <is>
          <t>La caída del ERP detiene facturación y despacho (Sección 3.1.5: criticidad alta)</t>
        </is>
      </c>
      <c r="J16" s="4" t="inlineStr">
        <is>
          <t>Debilidad mayor: no hay evidencia de que el respaldo se pueda restaurar</t>
        </is>
      </c>
    </row>
    <row r="17">
      <c r="A17" s="4" t="inlineStr">
        <is>
          <t>D7</t>
        </is>
      </c>
      <c r="B17" s="4" t="inlineStr">
        <is>
          <t>Debilidad</t>
        </is>
      </c>
      <c r="C17" s="4" t="inlineStr">
        <is>
          <t>Silos de información de clientes</t>
        </is>
      </c>
      <c r="D17" s="4" t="inlineStr">
        <is>
          <t>Administración, Ventas y TI mantienen hojas de cálculo propias con datos de clientes</t>
        </is>
      </c>
      <c r="E17" s="4" t="inlineStr">
        <is>
          <t>Sección 2.4 supuesto básico #3</t>
        </is>
      </c>
      <c r="F17" s="4" t="n">
        <v>0.07000000000000001</v>
      </c>
      <c r="G17" s="4" t="n">
        <v>2</v>
      </c>
      <c r="H17" s="5">
        <f>F17*G17</f>
        <v/>
      </c>
      <c r="I17" s="4" t="inlineStr">
        <is>
          <t>Bloquea la analítica y la integración (Sección 2.4, implicancia #4)</t>
        </is>
      </c>
      <c r="J17" s="4" t="inlineStr">
        <is>
          <t>Debilidad menor: los datos existen, pero dispersos y duplicados</t>
        </is>
      </c>
    </row>
    <row r="18">
      <c r="E18" s="6" t="inlineStr">
        <is>
          <t>TOTAL</t>
        </is>
      </c>
      <c r="F18" s="6">
        <f>SUM(F5:F17)</f>
        <v/>
      </c>
      <c r="H18" s="7">
        <f>SUM(H5:H17)</f>
        <v/>
      </c>
      <c r="I18" s="6">
        <f>IF(H18&gt;=2.5,"Igual o sobre el promedio de 2.5","Bajo el promedio de 2.5")</f>
        <v/>
      </c>
    </row>
    <row r="20">
      <c r="A20" s="8" t="inlineStr">
        <is>
          <t>Escala: 1 debilidad mayor · 2 debilidad menor · 3 fortaleza menor · 4 fortaleza mayor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34" customWidth="1" min="3" max="3"/>
    <col width="40" customWidth="1" min="4" max="4"/>
    <col width="26" customWidth="1" min="5" max="5"/>
    <col width="8" customWidth="1" min="6" max="6"/>
    <col width="11" customWidth="1" min="7" max="7"/>
    <col width="11" customWidth="1" min="8" max="8"/>
    <col width="42" customWidth="1" min="9" max="9"/>
    <col width="42" customWidth="1" min="10" max="10"/>
  </cols>
  <sheetData>
    <row r="1">
      <c r="A1" s="1" t="inlineStr">
        <is>
          <t>Anexo B · Matriz EFE</t>
        </is>
      </c>
    </row>
    <row r="2">
      <c r="A2" s="2" t="inlineStr">
        <is>
          <t>DICOSUR · PETI v0.7 · Confidencial · Taller 07 SI-886</t>
        </is>
      </c>
    </row>
    <row r="4">
      <c r="A4" s="3" t="inlineStr">
        <is>
          <t>id</t>
        </is>
      </c>
      <c r="B4" s="3" t="inlineStr">
        <is>
          <t>tipo</t>
        </is>
      </c>
      <c r="C4" s="3" t="inlineStr">
        <is>
          <t>factor</t>
        </is>
      </c>
      <c r="D4" s="3" t="inlineStr">
        <is>
          <t>evidencia</t>
        </is>
      </c>
      <c r="E4" s="3" t="inlineStr">
        <is>
          <t>origen</t>
        </is>
      </c>
      <c r="F4" s="3" t="inlineStr">
        <is>
          <t>peso</t>
        </is>
      </c>
      <c r="G4" s="3" t="inlineStr">
        <is>
          <t>calificacion</t>
        </is>
      </c>
      <c r="H4" s="3" t="inlineStr">
        <is>
          <t>ponderado</t>
        </is>
      </c>
      <c r="I4" s="3" t="inlineStr">
        <is>
          <t>justificacion_peso</t>
        </is>
      </c>
      <c r="J4" s="3" t="inlineStr">
        <is>
          <t>justificacion_calificacion</t>
        </is>
      </c>
    </row>
    <row r="5">
      <c r="A5" s="4" t="inlineStr">
        <is>
          <t>O1</t>
        </is>
      </c>
      <c r="B5" s="4" t="inlineStr">
        <is>
          <t>Oportunidad</t>
        </is>
      </c>
      <c r="C5" s="4" t="inlineStr">
        <is>
          <t>Acceso a internet de los clientes</t>
        </is>
      </c>
      <c r="D5" s="4" t="inlineStr">
        <is>
          <t>60,1 % de los hogares del país con internet (INEI, II trim. 2025)</t>
        </is>
      </c>
      <c r="E5" s="4" t="inlineStr">
        <is>
          <t>Sección 3.3 PE-04</t>
        </is>
      </c>
      <c r="F5" s="4" t="n">
        <v>0.1</v>
      </c>
      <c r="G5" s="4" t="n">
        <v>2</v>
      </c>
      <c r="H5" s="5">
        <f>F5*G5</f>
        <v/>
      </c>
      <c r="I5" s="4" t="inlineStr">
        <is>
          <t>Intensidad 4 en el PESTEL; habilita el canal digital, el objetivo comercial principal</t>
        </is>
      </c>
      <c r="J5" s="4" t="inlineStr">
        <is>
          <t>Por debajo del promedio: el portal capta solo el 6 % de los pedidos (D3)</t>
        </is>
      </c>
    </row>
    <row r="6">
      <c r="A6" s="4" t="inlineStr">
        <is>
          <t>O2</t>
        </is>
      </c>
      <c r="B6" s="4" t="inlineStr">
        <is>
          <t>Oportunidad</t>
        </is>
      </c>
      <c r="C6" s="4" t="inlineStr">
        <is>
          <t>Herramientas de analítica en la nube de bajo costo</t>
        </is>
      </c>
      <c r="D6" s="4" t="inlineStr">
        <is>
          <t>Power BI Pro a US$ 14 por usuario al mes (Microsoft, 2025)</t>
        </is>
      </c>
      <c r="E6" s="4" t="inlineStr">
        <is>
          <t>Sección 3.3 PE-06</t>
        </is>
      </c>
      <c r="F6" s="4" t="n">
        <v>0.07000000000000001</v>
      </c>
      <c r="G6" s="4" t="n">
        <v>1</v>
      </c>
      <c r="H6" s="5">
        <f>F6*G6</f>
        <v/>
      </c>
      <c r="I6" s="4" t="inlineStr">
        <is>
          <t>Intensidad 4 en el PESTEL; reduce la barrera de entrada a la analítica</t>
        </is>
      </c>
      <c r="J6" s="4" t="inlineStr">
        <is>
          <t>Respuesta deficiente: DICOSUR no usa ninguna herramienta de analítica</t>
        </is>
      </c>
    </row>
    <row r="7">
      <c r="A7" s="4" t="inlineStr">
        <is>
          <t>O3</t>
        </is>
      </c>
      <c r="B7" s="4" t="inlineStr">
        <is>
          <t>Oportunidad</t>
        </is>
      </c>
      <c r="C7" s="4" t="inlineStr">
        <is>
          <t>Oferta local de talento técnico</t>
        </is>
      </c>
      <c r="D7" s="4" t="inlineStr">
        <is>
          <t>Dos escuelas de Ingeniería de Sistemas en Tacna (UPT y UNJBG) con prácticas preprofesionales</t>
        </is>
      </c>
      <c r="E7" s="4" t="inlineStr">
        <is>
          <t>Sección 3.2.3 análisis del sector</t>
        </is>
      </c>
      <c r="F7" s="4" t="n">
        <v>0.05</v>
      </c>
      <c r="G7" s="4" t="n">
        <v>2</v>
      </c>
      <c r="H7" s="5">
        <f>F7*G7</f>
        <v/>
      </c>
      <c r="I7" s="4" t="inlineStr">
        <is>
          <t>Efecto indirecto: alivia la escasez de personal de TI (A5)</t>
        </is>
      </c>
      <c r="J7" s="4" t="inlineStr">
        <is>
          <t>Por debajo del promedio: TI recibe un practicante al año, sin convenio formal</t>
        </is>
      </c>
    </row>
    <row r="8">
      <c r="A8" s="4" t="inlineStr">
        <is>
          <t>O4</t>
        </is>
      </c>
      <c r="B8" s="4" t="inlineStr">
        <is>
          <t>Oportunidad</t>
        </is>
      </c>
      <c r="C8" s="4" t="inlineStr">
        <is>
          <t>Crecimiento económico regional</t>
        </is>
      </c>
      <c r="D8" s="4" t="inlineStr">
        <is>
          <t>Tacna creció 3,9 % promedio anual en 2015-2024 (BCRP)</t>
        </is>
      </c>
      <c r="E8" s="4" t="inlineStr">
        <is>
          <t>Sección 3.3 PE-03</t>
        </is>
      </c>
      <c r="F8" s="4" t="n">
        <v>0.08</v>
      </c>
      <c r="G8" s="4" t="n">
        <v>3</v>
      </c>
      <c r="H8" s="5">
        <f>F8*G8</f>
        <v/>
      </c>
      <c r="I8" s="4" t="inlineStr">
        <is>
          <t>Intensidad 3; impulsa directamente el volumen de pedidos</t>
        </is>
      </c>
      <c r="J8" s="4" t="inlineStr">
        <is>
          <t>Por encima del promedio: DICOSUR amplió rutas a Moquegua en 2025</t>
        </is>
      </c>
    </row>
    <row r="9">
      <c r="A9" s="4" t="inlineStr">
        <is>
          <t>O5</t>
        </is>
      </c>
      <c r="B9" s="4" t="inlineStr">
        <is>
          <t>Oportunidad</t>
        </is>
      </c>
      <c r="C9" s="4" t="inlineStr">
        <is>
          <t>Digitalización de las compras públicas</t>
        </is>
      </c>
      <c r="D9" s="4" t="inlineStr">
        <is>
          <t>Política Nacional de Transformación Digital al 2030 (D. S. 085-2023-PCM)</t>
        </is>
      </c>
      <c r="E9" s="4" t="inlineStr">
        <is>
          <t>Sección 3.3 PE-01</t>
        </is>
      </c>
      <c r="F9" s="4" t="n">
        <v>0.05</v>
      </c>
      <c r="G9" s="4" t="n">
        <v>2</v>
      </c>
      <c r="H9" s="5">
        <f>F9*G9</f>
        <v/>
      </c>
      <c r="I9" s="4" t="inlineStr">
        <is>
          <t>Intensidad 3; las ventas al Estado son el 9 % del total</t>
        </is>
      </c>
      <c r="J9" s="4" t="inlineStr">
        <is>
          <t>Por debajo del promedio: no hay integración con catálogos electrónicos</t>
        </is>
      </c>
    </row>
    <row r="10">
      <c r="A10" s="4" t="inlineStr">
        <is>
          <t>A1</t>
        </is>
      </c>
      <c r="B10" s="4" t="inlineStr">
        <is>
          <t>Amenaza</t>
        </is>
      </c>
      <c r="C10" s="4" t="inlineStr">
        <is>
          <t>Entrada de mayoristas con plataformas digitales</t>
        </is>
      </c>
      <c r="D10" s="4" t="inlineStr">
        <is>
          <t>Dos mayoristas de Arequipa con aplicación de pedidos ya atienden bodegas de Tacna</t>
        </is>
      </c>
      <c r="E10" s="4" t="inlineStr">
        <is>
          <t>Sección 3.2.1 Porter · nuevos entrantes</t>
        </is>
      </c>
      <c r="F10" s="4" t="n">
        <v>0.11</v>
      </c>
      <c r="G10" s="4" t="n">
        <v>2</v>
      </c>
      <c r="H10" s="5">
        <f>F10*G10</f>
        <v/>
      </c>
      <c r="I10" s="4" t="inlineStr">
        <is>
          <t>Fuerza competitiva calificada como alta en el análisis de Porter (Sección 3.2.1)</t>
        </is>
      </c>
      <c r="J10" s="4" t="inlineStr">
        <is>
          <t>Por debajo del promedio: solo la entrega en 24 h (F1) compite; el canal digital no</t>
        </is>
      </c>
    </row>
    <row r="11">
      <c r="A11" s="4" t="inlineStr">
        <is>
          <t>A2</t>
        </is>
      </c>
      <c r="B11" s="4" t="inlineStr">
        <is>
          <t>Amenaza</t>
        </is>
      </c>
      <c r="C11" s="4" t="inlineStr">
        <is>
          <t>Fin de soporte de la plataforma del servidor del ERP</t>
        </is>
      </c>
      <c r="D11" s="4" t="inlineStr">
        <is>
          <t>Las ESU de Windows Server 2012 R2 terminan el 13/10/2026 (Microsoft)</t>
        </is>
      </c>
      <c r="E11" s="4" t="inlineStr">
        <is>
          <t>Sección 3.3 PE-05</t>
        </is>
      </c>
      <c r="F11" s="4" t="n">
        <v>0.15</v>
      </c>
      <c r="G11" s="4" t="n">
        <v>1</v>
      </c>
      <c r="H11" s="5">
        <f>F11*G11</f>
        <v/>
      </c>
      <c r="I11" s="4" t="inlineStr">
        <is>
          <t>Intensidad 5 en el PESTEL y horizonte inmediato: el mayor peso de la matriz</t>
        </is>
      </c>
      <c r="J11" s="4" t="inlineStr">
        <is>
          <t>Respuesta deficiente: no se contrataron ESU ni existe plan de migración aprobado</t>
        </is>
      </c>
    </row>
    <row r="12">
      <c r="A12" s="4" t="inlineStr">
        <is>
          <t>A3</t>
        </is>
      </c>
      <c r="B12" s="4" t="inlineStr">
        <is>
          <t>Amenaza</t>
        </is>
      </c>
      <c r="C12" s="4" t="inlineStr">
        <is>
          <t>Nuevo Reglamento de Protección de Datos Personales</t>
        </is>
      </c>
      <c r="D12" s="4" t="inlineStr">
        <is>
          <t>D. S. 016-2024-JUS vigente; multas de hasta 100 UIT</t>
        </is>
      </c>
      <c r="E12" s="4" t="inlineStr">
        <is>
          <t>Sección 3.3 PE-09</t>
        </is>
      </c>
      <c r="F12" s="4" t="n">
        <v>0.13</v>
      </c>
      <c r="G12" s="4" t="n">
        <v>1</v>
      </c>
      <c r="H12" s="5">
        <f>F12*G12</f>
        <v/>
      </c>
      <c r="I12" s="4" t="inlineStr">
        <is>
          <t>Intensidad 5 en el PESTEL; exposición legal y reputacional</t>
        </is>
      </c>
      <c r="J12" s="4" t="inlineStr">
        <is>
          <t>Respuesta deficiente: sin registro de tratamientos ni medidas (D5)</t>
        </is>
      </c>
    </row>
    <row r="13">
      <c r="A13" s="4" t="inlineStr">
        <is>
          <t>A4</t>
        </is>
      </c>
      <c r="B13" s="4" t="inlineStr">
        <is>
          <t>Amenaza</t>
        </is>
      </c>
      <c r="C13" s="4" t="inlineStr">
        <is>
          <t>Volatilidad cambiaria</t>
        </is>
      </c>
      <c r="D13" s="4" t="inlineStr">
        <is>
          <t>−11,3 % del tipo de cambio en 2025 (BCRP)</t>
        </is>
      </c>
      <c r="E13" s="4" t="inlineStr">
        <is>
          <t>Sección 3.3 PE-02</t>
        </is>
      </c>
      <c r="F13" s="4" t="n">
        <v>0.07000000000000001</v>
      </c>
      <c r="G13" s="4" t="n">
        <v>2</v>
      </c>
      <c r="H13" s="5">
        <f>F13*G13</f>
        <v/>
      </c>
      <c r="I13" s="4" t="inlineStr">
        <is>
          <t>Intensidad 4, pero su efecto se limita al 40 % del gasto de TI</t>
        </is>
      </c>
      <c r="J13" s="4" t="inlineStr">
        <is>
          <t>Por debajo del promedio: los contratos no tienen cláusula cambiaria</t>
        </is>
      </c>
    </row>
    <row r="14">
      <c r="A14" s="4" t="inlineStr">
        <is>
          <t>A5</t>
        </is>
      </c>
      <c r="B14" s="4" t="inlineStr">
        <is>
          <t>Amenaza</t>
        </is>
      </c>
      <c r="C14" s="4" t="inlineStr">
        <is>
          <t>Rotación del personal técnico</t>
        </is>
      </c>
      <c r="D14" s="4" t="inlineStr">
        <is>
          <t>2 de 8 personas de TI renunciaron en los últimos 12 meses (25 %), ambas a empleos remotos</t>
        </is>
      </c>
      <c r="E14" s="4" t="inlineStr">
        <is>
          <t>Sección 3.2.2 mercado laboral de TI</t>
        </is>
      </c>
      <c r="F14" s="4" t="n">
        <v>0.09</v>
      </c>
      <c r="G14" s="4" t="n">
        <v>1</v>
      </c>
      <c r="H14" s="5">
        <f>F14*G14</f>
        <v/>
      </c>
      <c r="I14" s="4" t="inlineStr">
        <is>
          <t>Agrava D2, pero su efecto es indirecto: pesa menos que las amenazas con fecha (A2, A3) y que A1</t>
        </is>
      </c>
      <c r="J14" s="4" t="inlineStr">
        <is>
          <t>Respuesta deficiente: no hay plan de retención ni de sucesión</t>
        </is>
      </c>
    </row>
    <row r="15">
      <c r="A15" s="4" t="inlineStr">
        <is>
          <t>A6</t>
        </is>
      </c>
      <c r="B15" s="4" t="inlineStr">
        <is>
          <t>Amenaza</t>
        </is>
      </c>
      <c r="C15" s="4" t="inlineStr">
        <is>
          <t>Exigencias de uso ético de datos e IA</t>
        </is>
      </c>
      <c r="D15" s="4" t="inlineStr">
        <is>
          <t>Reglamento de la Ley 31814 vigente desde el 22/01/2026</t>
        </is>
      </c>
      <c r="E15" s="4" t="inlineStr">
        <is>
          <t>Sección 3.3 PE-08</t>
        </is>
      </c>
      <c r="F15" s="4" t="n">
        <v>0.06</v>
      </c>
      <c r="G15" s="4" t="n">
        <v>1</v>
      </c>
      <c r="H15" s="5">
        <f>F15*G15</f>
        <v/>
      </c>
      <c r="I15" s="4" t="inlineStr">
        <is>
          <t>Intensidad 3; aplica cuando arranque la analítica</t>
        </is>
      </c>
      <c r="J15" s="4" t="inlineStr">
        <is>
          <t>Respuesta deficiente: no existe política de uso de datos</t>
        </is>
      </c>
    </row>
    <row r="16">
      <c r="A16" s="4" t="inlineStr">
        <is>
          <t>A7</t>
        </is>
      </c>
      <c r="B16" s="4" t="inlineStr">
        <is>
          <t>Amenaza</t>
        </is>
      </c>
      <c r="C16" s="4" t="inlineStr">
        <is>
          <t>Disposición de RAEE</t>
        </is>
      </c>
      <c r="D16" s="4" t="inlineStr">
        <is>
          <t>D. S. 009-2019-MINAM</t>
        </is>
      </c>
      <c r="E16" s="4" t="inlineStr">
        <is>
          <t>Sección 3.3 PE-07</t>
        </is>
      </c>
      <c r="F16" s="4" t="n">
        <v>0.04</v>
      </c>
      <c r="G16" s="4" t="n">
        <v>2</v>
      </c>
      <c r="H16" s="5">
        <f>F16*G16</f>
        <v/>
      </c>
      <c r="I16" s="4" t="inlineStr">
        <is>
          <t>Intensidad 2; costo acotado a la renovación de equipos</t>
        </is>
      </c>
      <c r="J16" s="4" t="inlineStr">
        <is>
          <t>Por debajo del promedio: los equipos dados de baja se almacenan sin disposición</t>
        </is>
      </c>
    </row>
    <row r="17">
      <c r="E17" s="6" t="inlineStr">
        <is>
          <t>TOTAL</t>
        </is>
      </c>
      <c r="F17" s="6">
        <f>SUM(F5:F16)</f>
        <v/>
      </c>
      <c r="H17" s="7">
        <f>SUM(H5:H16)</f>
        <v/>
      </c>
      <c r="I17" s="6">
        <f>IF(H17&gt;=2.5,"Igual o sobre el promedio de 2.5","Bajo el promedio de 2.5")</f>
        <v/>
      </c>
    </row>
    <row r="19">
      <c r="A19" s="8" t="inlineStr">
        <is>
          <t>Escala: Calificación = qué tan bien RESPONDE la organización: 1 deficiente · 2 bajo el promedio · 3 sobre el promedio · 4 superior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60" customWidth="1" min="3" max="3"/>
  </cols>
  <sheetData>
    <row r="1">
      <c r="A1" s="9" t="inlineStr">
        <is>
          <t>Matriz</t>
        </is>
      </c>
      <c r="B1" s="9" t="inlineStr">
        <is>
          <t>Total ponderado</t>
        </is>
      </c>
      <c r="C1" s="9" t="inlineStr">
        <is>
          <t>Interpretación</t>
        </is>
      </c>
    </row>
    <row r="2">
      <c r="A2" s="10" t="inlineStr">
        <is>
          <t>EFI</t>
        </is>
      </c>
      <c r="B2" s="11">
        <f>EFI!H18</f>
        <v/>
      </c>
      <c r="C2" s="10">
        <f>EFI!I18</f>
        <v/>
      </c>
    </row>
    <row r="3">
      <c r="A3" s="10" t="inlineStr">
        <is>
          <t>EFE</t>
        </is>
      </c>
      <c r="B3" s="11">
        <f>EFE!H17</f>
        <v/>
      </c>
      <c r="C3" s="10">
        <f>EFE!I17</f>
        <v/>
      </c>
    </row>
    <row r="4">
      <c r="A4" s="10" t="inlineStr">
        <is>
          <t>Posición IE</t>
        </is>
      </c>
      <c r="B4" s="10" t="inlineStr">
        <is>
          <t>Celda VIII</t>
        </is>
      </c>
      <c r="C4" s="10" t="inlineStr">
        <is>
          <t>Cosechar o desinvertir: posición defensiva (ver PE02_matrices.py)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2026-10-01T22:08:30Z</dcterms:created>
  <dcterms:modified xmlns:dcterms="http://purl.org/dc/terms/" xmlns:xsi="http://www.w3.org/2001/XMLSchema-instance" xsi:type="dcterms:W3CDTF">2026-10-01T22:08:30Z</dcterms:modified>
</cp:coreProperties>
</file>